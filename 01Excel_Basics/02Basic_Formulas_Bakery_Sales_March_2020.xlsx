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600"/>
  </bookViews>
  <sheets>
    <sheet name="Instructions" sheetId="2" r:id="rId1"/>
    <sheet name="Data"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<sst xmlns="http://schemas.openxmlformats.org/spreadsheetml/2006/main" count="58" uniqueCount="41">
  <si>
    <t xml:space="preserve">The new Bakery Sales March 2020 spreadsheet has been updated with the sales data from the local bakery for the remaining days of the month. </t>
  </si>
  <si>
    <t xml:space="preserve">In this activity, we’ll use formulas to calculate essential metrics that reveal the revenue generated by each product. </t>
  </si>
  <si>
    <t xml:space="preserve">This data analysis will provide valuable insights into the local bakery's performance. </t>
  </si>
  <si>
    <t>The local bakery manager wants to know how many of each product was sold and how much revenue each product brought in during this sales period. To find the ansours, follow these steps:</t>
  </si>
  <si>
    <t>1. Create a new attribute named Revenue in cell E1. Bold and center this column name like we did previously.</t>
  </si>
  <si>
    <t>2. To calculate the revenue for the 30 cupcakes sold on 3/25, select cell E2. Next, multiply the number of cupcakes sold by the price of each cupcake. Enter =C2*D2 and press Enter.</t>
  </si>
  <si>
    <t>3. Copy the formula (or use the fill handle) from cell E2 to E3:E22.</t>
  </si>
  <si>
    <t xml:space="preserve">4. To find the total number of each product sold, first calculate the total quantity of each one. Start by making the data clear and easy to read. </t>
  </si>
  <si>
    <t xml:space="preserve">In cell G3, enter Total # of Cookies Sold. </t>
  </si>
  <si>
    <t xml:space="preserve">In cell G4, enter Total # of Cupcakes Sold. </t>
  </si>
  <si>
    <t xml:space="preserve">In cell G5, enter Total # of Muffins Sold. </t>
  </si>
  <si>
    <t>In cell G6, enter Total # of Pies Sold</t>
  </si>
  <si>
    <t>5. Now, calculate the total quantity of cookies sold. Select cell H3, enter =D3+D8+D13+D18+D22 and press Enter.</t>
  </si>
  <si>
    <t>6. Then, calculate the total quantity of cupcakes, muffins, and pies sold by using the same step</t>
  </si>
  <si>
    <t>7. The bakery manager would also like to know how much revenue each product brought in.</t>
  </si>
  <si>
    <t>8. Start by making the data clear and easy to read. In cell G9, enter Cookie Revenue. In cell G10, enter Cupcake Revenue. In cell G11, enter Muffin Revenue. In cell G12, enter Pie Revenue.</t>
  </si>
  <si>
    <t>9. To calculate the total revenue of the cookies, multiply the total number of cookies sold by the price of each cookie.</t>
  </si>
  <si>
    <t>10. Select cell H9, enter =H3*1, and press Enter.</t>
  </si>
  <si>
    <t>11. Finally, calculate the revenue of the remainder of the products (cupcakes, muffins, and pies) sold by using the same steps.</t>
  </si>
  <si>
    <t>Date</t>
  </si>
  <si>
    <t>Name</t>
  </si>
  <si>
    <t xml:space="preserve">Price </t>
  </si>
  <si>
    <t>Quantity</t>
  </si>
  <si>
    <t>Revenue</t>
  </si>
  <si>
    <t>Cupcake</t>
  </si>
  <si>
    <t>Cookie</t>
  </si>
  <si>
    <t>Total # of Cookies Sold</t>
  </si>
  <si>
    <t>Muffin</t>
  </si>
  <si>
    <t>Total # of Cupcakes Sold</t>
  </si>
  <si>
    <t>Total # of Muffins Sold</t>
  </si>
  <si>
    <t>Pie</t>
  </si>
  <si>
    <t>Total # of Pies Sold</t>
  </si>
  <si>
    <t>Cookie Revenu</t>
  </si>
  <si>
    <t>Cupcake Revenue</t>
  </si>
  <si>
    <t>Muffin Revenue</t>
  </si>
  <si>
    <t>Pie Revenue</t>
  </si>
  <si>
    <t>Reflection:</t>
  </si>
  <si>
    <t>1.Which product did the bakery sell most? Would you recommend any changes to the sales strategy of the bakery based on this information?</t>
  </si>
  <si>
    <t>Cupcakes sell most. The cupcake provides the highest revenue, so I would not recommend changes to the current sales strategy.</t>
  </si>
  <si>
    <t>2.Which product generated the most revenue for the bakery? Based on this finding, what actions would you recommend that the bakery take in order to improve its profitability?</t>
  </si>
  <si>
    <t>Pie generate the most revenue per product, I would recommend sale more pies to increase the profitability overall.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</si>
</sst>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
    <numFmt numFmtId="179" formatCode="&quot;$&quot;#,##0.00"/>
  </numFmts>
  <fonts count="25">
    <font>
      <sz val="10"/>
      <color rgb="FF000000"/>
      <name val="Arial"/>
      <charset val="134"/>
      <scheme val="minor"/>
    </font>
    <font>
      <b/>
      <sz val="10"/>
      <color theme="1"/>
      <name val="Arial"/>
      <charset val="134"/>
      <scheme val="minor"/>
    </font>
    <font>
      <sz val="10"/>
      <color theme="1"/>
      <name val="Arial"/>
      <charset val="134"/>
      <scheme val="minor"/>
    </font>
    <font>
      <b/>
      <sz val="10"/>
      <color rgb="FF000000"/>
      <name val="Arial"/>
      <charset val="134"/>
      <scheme val="minor"/>
    </font>
    <font>
      <sz val="9"/>
      <color rgb="FF000000"/>
      <name val="&quot;Google Sans Mono&quot;"/>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1">
    <xf numFmtId="0" fontId="0" fillId="0" borderId="0" xfId="0" applyFont="1" applyAlignment="1"/>
    <xf numFmtId="0" fontId="1" fillId="0" borderId="0" xfId="0" applyFont="1" applyAlignment="1">
      <alignment horizontal="center"/>
    </xf>
    <xf numFmtId="178" fontId="2" fillId="0" borderId="0" xfId="0" applyNumberFormat="1" applyFont="1" applyAlignment="1"/>
    <xf numFmtId="0" fontId="2" fillId="0" borderId="0" xfId="0" applyFont="1" applyAlignment="1"/>
    <xf numFmtId="179" fontId="2" fillId="0" borderId="0" xfId="0" applyNumberFormat="1" applyFont="1" applyAlignment="1"/>
    <xf numFmtId="0" fontId="1" fillId="0" borderId="0" xfId="0" applyFont="1" applyAlignment="1">
      <alignment horizontal="right"/>
    </xf>
    <xf numFmtId="0" fontId="3" fillId="0" borderId="0" xfId="0" applyFont="1" applyAlignment="1"/>
    <xf numFmtId="0" fontId="2" fillId="0" borderId="0" xfId="0" applyFont="1" applyAlignment="1">
      <alignment horizontal="center"/>
    </xf>
    <xf numFmtId="0" fontId="1" fillId="0" borderId="0" xfId="0" applyFont="1" applyAlignment="1"/>
    <xf numFmtId="0" fontId="4" fillId="2" borderId="0" xfId="0" applyFont="1" applyFill="1" applyAlignment="1">
      <alignment horizontal="right"/>
    </xf>
    <xf numFmtId="0" fontId="2"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0"/>
  <sheetViews>
    <sheetView tabSelected="1" workbookViewId="0">
      <selection activeCell="C6" sqref="C6"/>
    </sheetView>
  </sheetViews>
  <sheetFormatPr defaultColWidth="9.14285714285714" defaultRowHeight="15.2"/>
  <sheetData>
    <row r="1" spans="1:1">
      <c r="A1" t="s">
        <v>0</v>
      </c>
    </row>
    <row r="2" spans="1:1">
      <c r="A2" t="s">
        <v>1</v>
      </c>
    </row>
    <row r="3" spans="1:1">
      <c r="A3" t="s">
        <v>2</v>
      </c>
    </row>
    <row r="5" spans="1:1">
      <c r="A5"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7" spans="1:1">
      <c r="A17" t="s">
        <v>15</v>
      </c>
    </row>
    <row r="18" spans="1:1">
      <c r="A18" t="s">
        <v>16</v>
      </c>
    </row>
    <row r="19" spans="1:1">
      <c r="A19" t="s">
        <v>17</v>
      </c>
    </row>
    <row r="20" spans="1:1">
      <c r="A20"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9"/>
  <sheetViews>
    <sheetView topLeftCell="A4" workbookViewId="0">
      <selection activeCell="A30" sqref="A30"/>
    </sheetView>
  </sheetViews>
  <sheetFormatPr defaultColWidth="12.6339285714286" defaultRowHeight="15.75" customHeight="1" outlineLevelCol="7"/>
  <cols>
    <col min="1" max="6" width="15.75" customWidth="1"/>
    <col min="7" max="7" width="24.2142857142857" customWidth="1"/>
    <col min="8" max="26" width="15.75" customWidth="1"/>
  </cols>
  <sheetData>
    <row r="1" customHeight="1" spans="1:8">
      <c r="A1" s="1" t="s">
        <v>19</v>
      </c>
      <c r="B1" s="1" t="s">
        <v>20</v>
      </c>
      <c r="C1" s="1" t="s">
        <v>21</v>
      </c>
      <c r="D1" s="1" t="s">
        <v>22</v>
      </c>
      <c r="E1" s="1" t="s">
        <v>23</v>
      </c>
      <c r="F1" s="7"/>
      <c r="G1" s="7"/>
      <c r="H1" s="7"/>
    </row>
    <row r="2" customHeight="1" spans="1:5">
      <c r="A2" s="2">
        <v>45010</v>
      </c>
      <c r="B2" s="3" t="s">
        <v>24</v>
      </c>
      <c r="C2" s="4">
        <v>2</v>
      </c>
      <c r="D2" s="3">
        <v>30</v>
      </c>
      <c r="E2">
        <f>C2*D2</f>
        <v>60</v>
      </c>
    </row>
    <row r="3" customHeight="1" spans="1:8">
      <c r="A3" s="2">
        <v>45010</v>
      </c>
      <c r="B3" s="3" t="s">
        <v>25</v>
      </c>
      <c r="C3" s="4">
        <v>1</v>
      </c>
      <c r="D3" s="3">
        <v>20</v>
      </c>
      <c r="E3">
        <f t="shared" ref="E3:E22" si="0">C3*D3</f>
        <v>20</v>
      </c>
      <c r="G3" s="8" t="s">
        <v>26</v>
      </c>
      <c r="H3" s="3">
        <f>D3+D8+D13+D18+D22</f>
        <v>117</v>
      </c>
    </row>
    <row r="4" customHeight="1" spans="1:8">
      <c r="A4" s="2">
        <v>45010</v>
      </c>
      <c r="B4" s="3" t="s">
        <v>27</v>
      </c>
      <c r="C4" s="4">
        <v>3</v>
      </c>
      <c r="D4" s="3">
        <v>12</v>
      </c>
      <c r="E4">
        <f t="shared" si="0"/>
        <v>36</v>
      </c>
      <c r="G4" s="8" t="s">
        <v>28</v>
      </c>
      <c r="H4" s="3">
        <f>D2+D5+D7+D10+D12+D15+D17+D21</f>
        <v>291</v>
      </c>
    </row>
    <row r="5" customHeight="1" spans="1:8">
      <c r="A5" s="2">
        <v>45011</v>
      </c>
      <c r="B5" s="3" t="s">
        <v>24</v>
      </c>
      <c r="C5" s="4">
        <v>2</v>
      </c>
      <c r="D5" s="3">
        <v>40</v>
      </c>
      <c r="E5">
        <f t="shared" si="0"/>
        <v>80</v>
      </c>
      <c r="G5" s="8" t="s">
        <v>29</v>
      </c>
      <c r="H5" s="3">
        <f>D4+D9+D14+D19</f>
        <v>54</v>
      </c>
    </row>
    <row r="6" customHeight="1" spans="1:8">
      <c r="A6" s="2">
        <v>45011</v>
      </c>
      <c r="B6" s="3" t="s">
        <v>30</v>
      </c>
      <c r="C6" s="4">
        <v>5</v>
      </c>
      <c r="D6" s="3">
        <v>15</v>
      </c>
      <c r="E6">
        <f t="shared" si="0"/>
        <v>75</v>
      </c>
      <c r="G6" s="8" t="s">
        <v>31</v>
      </c>
      <c r="H6" s="3">
        <f>D6+D11+D16+D20</f>
        <v>66</v>
      </c>
    </row>
    <row r="7" customHeight="1" spans="1:5">
      <c r="A7" s="2">
        <v>45012</v>
      </c>
      <c r="B7" s="3" t="s">
        <v>24</v>
      </c>
      <c r="C7" s="4">
        <v>2</v>
      </c>
      <c r="D7" s="3">
        <v>35</v>
      </c>
      <c r="E7">
        <f t="shared" si="0"/>
        <v>70</v>
      </c>
    </row>
    <row r="8" customHeight="1" spans="1:5">
      <c r="A8" s="2">
        <v>45012</v>
      </c>
      <c r="B8" s="3" t="s">
        <v>25</v>
      </c>
      <c r="C8" s="4">
        <v>1</v>
      </c>
      <c r="D8" s="3">
        <v>25</v>
      </c>
      <c r="E8">
        <f t="shared" si="0"/>
        <v>25</v>
      </c>
    </row>
    <row r="9" customHeight="1" spans="1:8">
      <c r="A9" s="2">
        <v>45012</v>
      </c>
      <c r="B9" s="3" t="s">
        <v>27</v>
      </c>
      <c r="C9" s="4">
        <v>3</v>
      </c>
      <c r="D9" s="3">
        <v>14</v>
      </c>
      <c r="E9">
        <f t="shared" si="0"/>
        <v>42</v>
      </c>
      <c r="G9" s="8" t="s">
        <v>32</v>
      </c>
      <c r="H9" s="9">
        <f>H3*1</f>
        <v>117</v>
      </c>
    </row>
    <row r="10" customHeight="1" spans="1:8">
      <c r="A10" s="2">
        <v>45013</v>
      </c>
      <c r="B10" s="3" t="s">
        <v>24</v>
      </c>
      <c r="C10" s="4">
        <v>2</v>
      </c>
      <c r="D10" s="3">
        <v>32</v>
      </c>
      <c r="E10">
        <f t="shared" si="0"/>
        <v>64</v>
      </c>
      <c r="G10" s="8" t="s">
        <v>33</v>
      </c>
      <c r="H10" s="10">
        <f>H4*2</f>
        <v>582</v>
      </c>
    </row>
    <row r="11" customHeight="1" spans="1:8">
      <c r="A11" s="2">
        <v>45013</v>
      </c>
      <c r="B11" s="3" t="s">
        <v>30</v>
      </c>
      <c r="C11" s="4">
        <v>5</v>
      </c>
      <c r="D11" s="3">
        <v>16</v>
      </c>
      <c r="E11">
        <f t="shared" si="0"/>
        <v>80</v>
      </c>
      <c r="G11" s="8" t="s">
        <v>34</v>
      </c>
      <c r="H11" s="10">
        <f>H5*3</f>
        <v>162</v>
      </c>
    </row>
    <row r="12" customHeight="1" spans="1:8">
      <c r="A12" s="2">
        <v>45014</v>
      </c>
      <c r="B12" s="3" t="s">
        <v>24</v>
      </c>
      <c r="C12" s="4">
        <v>2</v>
      </c>
      <c r="D12" s="3">
        <v>38</v>
      </c>
      <c r="E12">
        <f t="shared" si="0"/>
        <v>76</v>
      </c>
      <c r="G12" s="8" t="s">
        <v>35</v>
      </c>
      <c r="H12" s="10">
        <f>H6*5</f>
        <v>330</v>
      </c>
    </row>
    <row r="13" customHeight="1" spans="1:5">
      <c r="A13" s="2">
        <v>45014</v>
      </c>
      <c r="B13" s="3" t="s">
        <v>25</v>
      </c>
      <c r="C13" s="4">
        <v>1</v>
      </c>
      <c r="D13" s="3">
        <v>22</v>
      </c>
      <c r="E13">
        <f t="shared" si="0"/>
        <v>22</v>
      </c>
    </row>
    <row r="14" customHeight="1" spans="1:5">
      <c r="A14" s="2">
        <v>45014</v>
      </c>
      <c r="B14" s="3" t="s">
        <v>27</v>
      </c>
      <c r="C14" s="4">
        <v>3</v>
      </c>
      <c r="D14" s="3">
        <v>13</v>
      </c>
      <c r="E14">
        <f t="shared" si="0"/>
        <v>39</v>
      </c>
    </row>
    <row r="15" customHeight="1" spans="1:5">
      <c r="A15" s="2">
        <v>45015</v>
      </c>
      <c r="B15" s="3" t="s">
        <v>24</v>
      </c>
      <c r="C15" s="4">
        <v>2</v>
      </c>
      <c r="D15" s="3">
        <v>36</v>
      </c>
      <c r="E15">
        <f t="shared" si="0"/>
        <v>72</v>
      </c>
    </row>
    <row r="16" customHeight="1" spans="1:5">
      <c r="A16" s="2">
        <v>45015</v>
      </c>
      <c r="B16" s="3" t="s">
        <v>30</v>
      </c>
      <c r="C16" s="4">
        <v>5</v>
      </c>
      <c r="D16" s="3">
        <v>17</v>
      </c>
      <c r="E16">
        <f t="shared" si="0"/>
        <v>85</v>
      </c>
    </row>
    <row r="17" customHeight="1" spans="1:5">
      <c r="A17" s="2">
        <v>45016</v>
      </c>
      <c r="B17" s="3" t="s">
        <v>24</v>
      </c>
      <c r="C17" s="4">
        <v>2</v>
      </c>
      <c r="D17" s="3">
        <v>39</v>
      </c>
      <c r="E17">
        <f t="shared" si="0"/>
        <v>78</v>
      </c>
    </row>
    <row r="18" customHeight="1" spans="1:5">
      <c r="A18" s="2">
        <v>45016</v>
      </c>
      <c r="B18" s="3" t="s">
        <v>25</v>
      </c>
      <c r="C18" s="4">
        <v>1</v>
      </c>
      <c r="D18" s="3">
        <v>24</v>
      </c>
      <c r="E18">
        <f t="shared" si="0"/>
        <v>24</v>
      </c>
    </row>
    <row r="19" customHeight="1" spans="1:5">
      <c r="A19" s="2">
        <v>45016</v>
      </c>
      <c r="B19" s="3" t="s">
        <v>27</v>
      </c>
      <c r="C19" s="4">
        <v>3</v>
      </c>
      <c r="D19" s="3">
        <v>15</v>
      </c>
      <c r="E19">
        <f t="shared" si="0"/>
        <v>45</v>
      </c>
    </row>
    <row r="20" customHeight="1" spans="1:5">
      <c r="A20" s="2">
        <v>45016</v>
      </c>
      <c r="B20" s="3" t="s">
        <v>30</v>
      </c>
      <c r="C20" s="4">
        <v>5</v>
      </c>
      <c r="D20" s="3">
        <v>18</v>
      </c>
      <c r="E20">
        <f t="shared" si="0"/>
        <v>90</v>
      </c>
    </row>
    <row r="21" customHeight="1" spans="1:5">
      <c r="A21" s="2">
        <v>45016</v>
      </c>
      <c r="B21" s="3" t="s">
        <v>24</v>
      </c>
      <c r="C21" s="4">
        <v>2</v>
      </c>
      <c r="D21" s="3">
        <v>41</v>
      </c>
      <c r="E21">
        <f t="shared" si="0"/>
        <v>82</v>
      </c>
    </row>
    <row r="22" customHeight="1" spans="1:5">
      <c r="A22" s="2">
        <v>45016</v>
      </c>
      <c r="B22" s="3" t="s">
        <v>25</v>
      </c>
      <c r="C22" s="4">
        <v>1</v>
      </c>
      <c r="D22" s="3">
        <v>26</v>
      </c>
      <c r="E22">
        <f t="shared" si="0"/>
        <v>26</v>
      </c>
    </row>
    <row r="24" customHeight="1" spans="4:4">
      <c r="D24" s="5"/>
    </row>
    <row r="25" customHeight="1" spans="1:1">
      <c r="A25" s="6" t="s">
        <v>36</v>
      </c>
    </row>
    <row r="26" customHeight="1" spans="1:1">
      <c r="A26" s="3" t="s">
        <v>37</v>
      </c>
    </row>
    <row r="27" customHeight="1" spans="1:1">
      <c r="A27" t="s">
        <v>38</v>
      </c>
    </row>
    <row r="28" customHeight="1" spans="1:1">
      <c r="A28" t="s">
        <v>39</v>
      </c>
    </row>
    <row r="29" customHeight="1" spans="1:1">
      <c r="A29" t="s">
        <v>40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Instructions</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2026-07-31T01:28:00Z</dcterms:created>
  <dcterms:modified xsi:type="dcterms:W3CDTF">2026-08-03T16:21:02Z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2BC32EE524A33418241A6B6AEF5BBC9A_42</vt:lpwstr>
  </property>
</Properties>
</file>